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d7c67d6be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6348ebeca79446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315448c05d4f17" /><Relationship Type="http://schemas.openxmlformats.org/officeDocument/2006/relationships/theme" Target="/xl/theme/theme1.xml" Id="R910d40e7aa084ee0" /><Relationship Type="http://schemas.openxmlformats.org/officeDocument/2006/relationships/sharedStrings" Target="/xl/sharedStrings.xml" Id="R628f5202dbca4200" /><Relationship Type="http://schemas.openxmlformats.org/officeDocument/2006/relationships/worksheet" Target="/xl/worksheets/sheet1.xml" Id="R6348ebeca79446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27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中国薄脆饼干新品研究｜V2 重点人群增样</x:v>
      </x:c>
      <x:c r="B1" s="3" t="str">
        <x:v>中国薄脆饼干新品研究｜V2 重点人群增样</x:v>
      </x:c>
      <x:c r="C1" s="3" t="str">
        <x:v>中国薄脆饼干新品研究｜V2 重点人群增样</x:v>
      </x:c>
      <x:c r="D1" s="3" t="str">
        <x:v>中国薄脆饼干新品研究｜V2 重点人群增样</x:v>
      </x:c>
      <x:c r="E1" s="3" t="str">
        <x:v>中国薄脆饼干新品研究｜V2 重点人群增样</x:v>
      </x:c>
      <x:c r="F1" s="3" t="str">
        <x:v>中国薄脆饼干新品研究｜V2 重点人群增样</x:v>
      </x:c>
      <x:c r="G1" s="3" t="str">
        <x:v>中国薄脆饼干新品研究｜V2 重点人群增样</x:v>
      </x:c>
      <x:c r="H1" s="3" t="str">
        <x:v>中国薄脆饼干新品研究｜V2 重点人群增样</x:v>
      </x:c>
    </x:row>
    <x:row r="2">
      <x:c r="A2" s="11" t="str">
        <x:v>总体样本</x:v>
      </x:c>
      <x:c r="B2" s="13" t="n">
        <x:v>5000</x:v>
      </x:c>
      <x:c r="C2" s="9"/>
      <x:c r="D2" s="9" t="str">
        <x:v>专项模块</x:v>
      </x:c>
      <x:c r="E2" s="9" t="str">
        <x:v>健康属性实验、随机价格实验</x:v>
      </x:c>
      <x:c r="F2" s="9"/>
      <x:c r="G2" s="9"/>
      <x:c r="H2" s="9"/>
    </x:row>
    <x:row r="3">
      <x:c r="A3" s="12" t="str">
        <x:v>控制原则</x:v>
      </x:c>
      <x:c r="B3" s="10" t="str">
        <x:v>人口配额决定样本结构；实验分组由程序随机分配并监测，不作为自然人群硬配额。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 / 实验单元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结构监测</x:v>
      </x:c>
      <x:c r="B6" s="9" t="str">
        <x:v>年龄｜18-24</x:v>
      </x:c>
      <x:c r="C6" s="19" t="str">
        <x:v>S1=1</x:v>
      </x:c>
      <x:c r="D6" s="21" t="n">
        <x:v>0.18</x:v>
      </x:c>
      <x:c r="E6" s="13" t="n">
        <x:v>900</x:v>
      </x:c>
      <x:c r="F6" s="24"/>
      <x:c r="G6" s="13" t="str">
        <x:f>IF(F6="","",F6-E6)</x:f>
      </x:c>
      <x:c r="H6" s="9" t="str">
        <x:v>软监测</x:v>
      </x:c>
    </x:row>
    <x:row r="7">
      <x:c r="A7" s="10" t="str">
        <x:v>结构监测</x:v>
      </x:c>
      <x:c r="B7" s="10" t="str">
        <x:v>年龄｜25-34</x:v>
      </x:c>
      <x:c r="C7" s="20" t="str">
        <x:v>S1=2</x:v>
      </x:c>
      <x:c r="D7" s="22" t="n">
        <x:v>0.3</x:v>
      </x:c>
      <x:c r="E7" s="23" t="n">
        <x:v>1500</x:v>
      </x:c>
      <x:c r="F7" s="25"/>
      <x:c r="G7" s="23" t="str">
        <x:f>IF(F7="","",F7-E7)</x:f>
      </x:c>
      <x:c r="H7" s="10" t="str">
        <x:v>软监测</x:v>
      </x:c>
    </x:row>
    <x:row r="8">
      <x:c r="A8" s="10" t="str">
        <x:v>结构监测</x:v>
      </x:c>
      <x:c r="B8" s="10" t="str">
        <x:v>年龄｜35-44</x:v>
      </x:c>
      <x:c r="C8" s="20" t="str">
        <x:v>S1=3</x:v>
      </x:c>
      <x:c r="D8" s="22" t="n">
        <x:v>0.29</x:v>
      </x:c>
      <x:c r="E8" s="23" t="n">
        <x:v>1450</x:v>
      </x:c>
      <x:c r="F8" s="25"/>
      <x:c r="G8" s="23" t="str">
        <x:f>IF(F8="","",F8-E8)</x:f>
      </x:c>
      <x:c r="H8" s="10" t="str">
        <x:v>软监测</x:v>
      </x:c>
    </x:row>
    <x:row r="9">
      <x:c r="A9" s="10" t="str">
        <x:v>结构监测</x:v>
      </x:c>
      <x:c r="B9" s="10" t="str">
        <x:v>年龄｜45-54</x:v>
      </x:c>
      <x:c r="C9" s="20" t="str">
        <x:v>S1=4</x:v>
      </x:c>
      <x:c r="D9" s="22" t="n">
        <x:v>0.23</x:v>
      </x:c>
      <x:c r="E9" s="23" t="n">
        <x:v>1150</x:v>
      </x:c>
      <x:c r="F9" s="25"/>
      <x:c r="G9" s="23" t="str">
        <x:f>IF(F9="","",F9-E9)</x:f>
      </x:c>
      <x:c r="H9" s="10" t="str">
        <x:v>软监测</x:v>
      </x:c>
    </x:row>
    <x:row r="10">
      <x:c r="A10" s="10" t="str">
        <x:v>结构监测</x:v>
      </x:c>
      <x:c r="B10" s="10" t="str">
        <x:v>地区｜华东</x:v>
      </x:c>
      <x:c r="C10" s="20" t="str">
        <x:v>S3=1</x:v>
      </x:c>
      <x:c r="D10" s="22" t="n">
        <x:v>0.29</x:v>
      </x:c>
      <x:c r="E10" s="23" t="n">
        <x:v>1450</x:v>
      </x:c>
      <x:c r="F10" s="25"/>
      <x:c r="G10" s="23" t="str">
        <x:f>IF(F10="","",F10-E10)</x:f>
      </x:c>
      <x:c r="H10" s="10" t="str">
        <x:v>软监测</x:v>
      </x:c>
    </x:row>
    <x:row r="11">
      <x:c r="A11" s="10" t="str">
        <x:v>结构监测</x:v>
      </x:c>
      <x:c r="B11" s="10" t="str">
        <x:v>地区｜华南</x:v>
      </x:c>
      <x:c r="C11" s="20" t="str">
        <x:v>S3=2</x:v>
      </x:c>
      <x:c r="D11" s="22" t="n">
        <x:v>0.19</x:v>
      </x:c>
      <x:c r="E11" s="23" t="n">
        <x:v>950</x:v>
      </x:c>
      <x:c r="F11" s="25"/>
      <x:c r="G11" s="23" t="str">
        <x:f>IF(F11="","",F11-E11)</x:f>
      </x:c>
      <x:c r="H11" s="10" t="str">
        <x:v>软监测</x:v>
      </x:c>
    </x:row>
    <x:row r="12">
      <x:c r="A12" s="10" t="str">
        <x:v>结构监测</x:v>
      </x:c>
      <x:c r="B12" s="10" t="str">
        <x:v>地区｜华北</x:v>
      </x:c>
      <x:c r="C12" s="20" t="str">
        <x:v>S3=3</x:v>
      </x:c>
      <x:c r="D12" s="22" t="n">
        <x:v>0.17</x:v>
      </x:c>
      <x:c r="E12" s="23" t="n">
        <x:v>850</x:v>
      </x:c>
      <x:c r="F12" s="25"/>
      <x:c r="G12" s="23" t="str">
        <x:f>IF(F12="","",F12-E12)</x:f>
      </x:c>
      <x:c r="H12" s="10" t="str">
        <x:v>软监测</x:v>
      </x:c>
    </x:row>
    <x:row r="13">
      <x:c r="A13" s="10" t="str">
        <x:v>结构监测</x:v>
      </x:c>
      <x:c r="B13" s="10" t="str">
        <x:v>地区｜华中</x:v>
      </x:c>
      <x:c r="C13" s="20" t="str">
        <x:v>S3=4</x:v>
      </x:c>
      <x:c r="D13" s="22" t="n">
        <x:v>0.14</x:v>
      </x:c>
      <x:c r="E13" s="23" t="n">
        <x:v>700</x:v>
      </x:c>
      <x:c r="F13" s="25"/>
      <x:c r="G13" s="23" t="str">
        <x:f>IF(F13="","",F13-E13)</x:f>
      </x:c>
      <x:c r="H13" s="10" t="str">
        <x:v>软监测</x:v>
      </x:c>
    </x:row>
    <x:row r="14">
      <x:c r="A14" s="10" t="str">
        <x:v>结构监测</x:v>
      </x:c>
      <x:c r="B14" s="10" t="str">
        <x:v>地区｜西南</x:v>
      </x:c>
      <x:c r="C14" s="20" t="str">
        <x:v>S3=5</x:v>
      </x:c>
      <x:c r="D14" s="22" t="n">
        <x:v>0.13</x:v>
      </x:c>
      <x:c r="E14" s="23" t="n">
        <x:v>650</x:v>
      </x:c>
      <x:c r="F14" s="25"/>
      <x:c r="G14" s="23" t="str">
        <x:f>IF(F14="","",F14-E14)</x:f>
      </x:c>
      <x:c r="H14" s="10" t="str">
        <x:v>软监测</x:v>
      </x:c>
    </x:row>
    <x:row r="15">
      <x:c r="A15" s="10" t="str">
        <x:v>结构监测</x:v>
      </x:c>
      <x:c r="B15" s="10" t="str">
        <x:v>地区｜东北</x:v>
      </x:c>
      <x:c r="C15" s="20" t="str">
        <x:v>S3=6</x:v>
      </x:c>
      <x:c r="D15" s="22" t="n">
        <x:v>0.08</x:v>
      </x:c>
      <x:c r="E15" s="23" t="n">
        <x:v>400</x:v>
      </x:c>
      <x:c r="F15" s="25"/>
      <x:c r="G15" s="23" t="str">
        <x:f>IF(F15="","",F15-E15)</x:f>
      </x:c>
      <x:c r="H15" s="10" t="str">
        <x:v>软监测</x:v>
      </x:c>
    </x:row>
    <x:row r="16">
      <x:c r="A16" s="10" t="str">
        <x:v>重点Base</x:v>
      </x:c>
      <x:c r="B16" s="10" t="str">
        <x:v>18–24岁</x:v>
      </x:c>
      <x:c r="C16" s="20" t="str">
        <x:v>S1=1</x:v>
      </x:c>
      <x:c r="D16" s="22"/>
      <x:c r="E16" s="23" t="n">
        <x:v>300</x:v>
      </x:c>
      <x:c r="F16" s="25"/>
      <x:c r="G16" s="23" t="str">
        <x:f>IF(F16="","",F16-E16)</x:f>
      </x:c>
      <x:c r="H16" s="10" t="str">
        <x:v>最低Base</x:v>
      </x:c>
    </x:row>
    <x:row r="17">
      <x:c r="A17" s="10" t="str">
        <x:v>重点Base</x:v>
      </x:c>
      <x:c r="B17" s="10" t="str">
        <x:v>近3个月目标品类购买者</x:v>
      </x:c>
      <x:c r="C17" s="20" t="str">
        <x:v>Q1=1</x:v>
      </x:c>
      <x:c r="D17" s="22"/>
      <x:c r="E17" s="23" t="n">
        <x:v>2500</x:v>
      </x:c>
      <x:c r="F17" s="25"/>
      <x:c r="G17" s="23" t="str">
        <x:f>IF(F17="","",F17-E17)</x:f>
      </x:c>
      <x:c r="H17" s="10" t="str">
        <x:v>最低Base</x:v>
      </x:c>
    </x:row>
    <x:row r="18">
      <x:c r="A18" s="10" t="str">
        <x:v>实验分组</x:v>
      </x:c>
      <x:c r="B18" s="10" t="str">
        <x:v>健康属性实验｜现有产品方案</x:v>
      </x:c>
      <x:c r="C18" s="20" t="str">
        <x:v>PJT_HEALTH_01=1</x:v>
      </x:c>
      <x:c r="D18" s="22" t="n">
        <x:v>0.5</x:v>
      </x:c>
      <x:c r="E18" s="23" t="n">
        <x:v>2500</x:v>
      </x:c>
      <x:c r="F18" s="25"/>
      <x:c r="G18" s="23" t="str">
        <x:f>IF(F18="","",F18-E18)</x:f>
      </x:c>
      <x:c r="H18" s="10" t="str">
        <x:v>随机分配 / 软监测</x:v>
      </x:c>
    </x:row>
    <x:row r="19">
      <x:c r="A19" s="10" t="str">
        <x:v>实验分组</x:v>
      </x:c>
      <x:c r="B19" s="10" t="str">
        <x:v>健康属性实验｜健康属性强化方案</x:v>
      </x:c>
      <x:c r="C19" s="20" t="str">
        <x:v>PJT_HEALTH_01=2</x:v>
      </x:c>
      <x:c r="D19" s="22" t="n">
        <x:v>0.5</x:v>
      </x:c>
      <x:c r="E19" s="23" t="n">
        <x:v>2500</x:v>
      </x:c>
      <x:c r="F19" s="25"/>
      <x:c r="G19" s="23" t="str">
        <x:f>IF(F19="","",F19-E19)</x:f>
      </x:c>
      <x:c r="H19" s="10" t="str">
        <x:v>随机分配 / 软监测</x:v>
      </x:c>
    </x:row>
    <x:row r="20">
      <x:c r="A20" s="10" t="str">
        <x:v>实验分组</x:v>
      </x:c>
      <x:c r="B20" s="10" t="str">
        <x:v>随机价格实验｜¥9.9</x:v>
      </x:c>
      <x:c r="C20" s="20" t="str">
        <x:v>PJT_PRICE_01=1</x:v>
      </x:c>
      <x:c r="D20" s="22" t="n">
        <x:v>0.3333333333333333</x:v>
      </x:c>
      <x:c r="E20" s="23" t="n">
        <x:v>1667</x:v>
      </x:c>
      <x:c r="F20" s="25"/>
      <x:c r="G20" s="23" t="str">
        <x:f>IF(F20="","",F20-E20)</x:f>
      </x:c>
      <x:c r="H20" s="10" t="str">
        <x:v>随机分配 / 软监测</x:v>
      </x:c>
    </x:row>
    <x:row r="21">
      <x:c r="A21" s="10" t="str">
        <x:v>实验分组</x:v>
      </x:c>
      <x:c r="B21" s="10" t="str">
        <x:v>随机价格实验｜¥10.9</x:v>
      </x:c>
      <x:c r="C21" s="20" t="str">
        <x:v>PJT_PRICE_01=2</x:v>
      </x:c>
      <x:c r="D21" s="22" t="n">
        <x:v>0.3333333333333333</x:v>
      </x:c>
      <x:c r="E21" s="23" t="n">
        <x:v>1667</x:v>
      </x:c>
      <x:c r="F21" s="25"/>
      <x:c r="G21" s="23" t="str">
        <x:f>IF(F21="","",F21-E21)</x:f>
      </x:c>
      <x:c r="H21" s="10" t="str">
        <x:v>随机分配 / 软监测</x:v>
      </x:c>
    </x:row>
    <x:row r="22">
      <x:c r="A22" s="10" t="str">
        <x:v>实验分组</x:v>
      </x:c>
      <x:c r="B22" s="10" t="str">
        <x:v>随机价格实验｜¥12.9</x:v>
      </x:c>
      <x:c r="C22" s="20" t="str">
        <x:v>PJT_PRICE_01=3</x:v>
      </x:c>
      <x:c r="D22" s="22" t="n">
        <x:v>0.3333333333333333</x:v>
      </x:c>
      <x:c r="E22" s="23" t="n">
        <x:v>1667</x:v>
      </x:c>
      <x:c r="F22" s="25"/>
      <x:c r="G22" s="23" t="str">
        <x:f>IF(F22="","",F22-E22)</x:f>
      </x:c>
      <x:c r="H22" s="10" t="str">
        <x:v>随机分配 / 软监测</x:v>
      </x:c>
    </x:row>
    <x:row r="24">
      <x:c r="A24" s="28" t="str">
        <x:v>说明</x:v>
      </x:c>
      <x:c r="B24" s="28" t="str">
        <x:v>实验分组目标N仅用于检查随机分配平衡；不与年龄、性别、地区等自然人群配额机械交叉。</x:v>
      </x:c>
      <x:c r="C24" s="28"/>
      <x:c r="D24" s="28"/>
      <x:c r="E24" s="28"/>
      <x:c r="F24" s="28"/>
      <x:c r="G24" s="28"/>
      <x:c r="H24" s="28"/>
    </x:row>
  </x:sheetData>
  <x:mergeCells>
    <x:mergeCell ref="A1:H1"/>
    <x:mergeCell ref="B2:C2"/>
    <x:mergeCell ref="E2:H2"/>
    <x:mergeCell ref="B3:H3"/>
    <x:mergeCell ref="B24:H24"/>
  </x:mergeCells>
  <x:pageMargins left="0.7" right="0.7" top="0.75" bottom="0.75" header="0.3" footer="0.3"/>
</x:worksheet>
</file>