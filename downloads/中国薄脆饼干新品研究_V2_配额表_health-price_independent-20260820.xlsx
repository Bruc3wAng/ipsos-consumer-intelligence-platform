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450de76e8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b3aebd05be7d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73c36168648a6" /><Relationship Type="http://schemas.openxmlformats.org/officeDocument/2006/relationships/theme" Target="/xl/theme/theme1.xml" Id="Rd08e71bf8d994cac" /><Relationship Type="http://schemas.openxmlformats.org/officeDocument/2006/relationships/sharedStrings" Target="/xl/sharedStrings.xml" Id="R8f9af8b544f54a22" /><Relationship Type="http://schemas.openxmlformats.org/officeDocument/2006/relationships/worksheet" Target="/xl/worksheets/sheet1.xml" Id="Rb3aebd05be7d43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独立配额</x:v>
      </x:c>
      <x:c r="B1" s="3" t="str">
        <x:v>中国薄脆饼干新品研究｜V2 独立配额</x:v>
      </x:c>
      <x:c r="C1" s="3" t="str">
        <x:v>中国薄脆饼干新品研究｜V2 独立配额</x:v>
      </x:c>
      <x:c r="D1" s="3" t="str">
        <x:v>中国薄脆饼干新品研究｜V2 独立配额</x:v>
      </x:c>
      <x:c r="E1" s="3" t="str">
        <x:v>中国薄脆饼干新品研究｜V2 独立配额</x:v>
      </x:c>
      <x:c r="F1" s="3" t="str">
        <x:v>中国薄脆饼干新品研究｜V2 独立配额</x:v>
      </x:c>
      <x:c r="G1" s="3" t="str">
        <x:v>中国薄脆饼干新品研究｜V2 独立配额</x:v>
      </x:c>
      <x:c r="H1" s="3" t="str">
        <x:v>中国薄脆饼干新品研究｜V2 独立配额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健康属性实验、随机价格实验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独立配额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独立配额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独立配额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独立配额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独立配额</x:v>
      </x:c>
      <x:c r="B10" s="10" t="str">
        <x:v>性别｜男性</x:v>
      </x:c>
      <x:c r="C10" s="20" t="str">
        <x:v>S2=1</x:v>
      </x:c>
      <x:c r="D10" s="22" t="n">
        <x:v>0.5</x:v>
      </x:c>
      <x:c r="E10" s="23" t="n">
        <x:v>2500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独立配额</x:v>
      </x:c>
      <x:c r="B11" s="10" t="str">
        <x:v>性别｜女性</x:v>
      </x:c>
      <x:c r="C11" s="20" t="str">
        <x:v>S2=2</x:v>
      </x:c>
      <x:c r="D11" s="22" t="n">
        <x:v>0.5</x:v>
      </x:c>
      <x:c r="E11" s="23" t="n">
        <x:v>2500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独立配额</x:v>
      </x:c>
      <x:c r="B12" s="10" t="str">
        <x:v>地区｜华东</x:v>
      </x:c>
      <x:c r="C12" s="20" t="str">
        <x:v>S3=1</x:v>
      </x:c>
      <x:c r="D12" s="22" t="n">
        <x:v>0.29</x:v>
      </x:c>
      <x:c r="E12" s="23" t="n">
        <x:v>1450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独立配额</x:v>
      </x:c>
      <x:c r="B13" s="10" t="str">
        <x:v>地区｜华南</x:v>
      </x:c>
      <x:c r="C13" s="20" t="str">
        <x:v>S3=2</x:v>
      </x:c>
      <x:c r="D13" s="22" t="n">
        <x:v>0.19</x:v>
      </x:c>
      <x:c r="E13" s="23" t="n">
        <x:v>950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地区｜华北</x:v>
      </x:c>
      <x:c r="C14" s="20" t="str">
        <x:v>S3=3</x:v>
      </x:c>
      <x:c r="D14" s="22" t="n">
        <x:v>0.17</x:v>
      </x:c>
      <x:c r="E14" s="23" t="n">
        <x:v>850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地区｜华中</x:v>
      </x:c>
      <x:c r="C15" s="20" t="str">
        <x:v>S3=4</x:v>
      </x:c>
      <x:c r="D15" s="22" t="n">
        <x:v>0.14</x:v>
      </x:c>
      <x:c r="E15" s="23" t="n">
        <x:v>700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地区｜西南</x:v>
      </x:c>
      <x:c r="C16" s="20" t="str">
        <x:v>S3=5</x:v>
      </x:c>
      <x:c r="D16" s="22" t="n">
        <x:v>0.13</x:v>
      </x:c>
      <x:c r="E16" s="23" t="n">
        <x:v>650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地区｜东北</x:v>
      </x:c>
      <x:c r="C17" s="20" t="str">
        <x:v>S3=6</x:v>
      </x:c>
      <x:c r="D17" s="22" t="n">
        <x:v>0.08</x:v>
      </x:c>
      <x:c r="E17" s="23" t="n">
        <x:v>400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城市级别｜一线</x:v>
      </x:c>
      <x:c r="C18" s="20" t="str">
        <x:v>S4=1</x:v>
      </x:c>
      <x:c r="D18" s="22" t="n">
        <x:v>0.18</x:v>
      </x:c>
      <x:c r="E18" s="23" t="n">
        <x:v>900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城市级别｜新一线</x:v>
      </x:c>
      <x:c r="C19" s="20" t="str">
        <x:v>S4=2</x:v>
      </x:c>
      <x:c r="D19" s="22" t="n">
        <x:v>0.3</x:v>
      </x:c>
      <x:c r="E19" s="23" t="n">
        <x:v>1500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独立配额</x:v>
      </x:c>
      <x:c r="B20" s="10" t="str">
        <x:v>城市级别｜二线</x:v>
      </x:c>
      <x:c r="C20" s="20" t="str">
        <x:v>S4=3</x:v>
      </x:c>
      <x:c r="D20" s="22" t="n">
        <x:v>0.28</x:v>
      </x:c>
      <x:c r="E20" s="23" t="n">
        <x:v>1400</x:v>
      </x:c>
      <x:c r="F20" s="25"/>
      <x:c r="G20" s="23" t="str">
        <x:f>IF(F20="","",F20-E20)</x:f>
      </x:c>
      <x:c r="H20" s="10" t="str">
        <x:v>硬控</x:v>
      </x:c>
    </x:row>
    <x:row r="21">
      <x:c r="A21" s="10" t="str">
        <x:v>独立配额</x:v>
      </x:c>
      <x:c r="B21" s="10" t="str">
        <x:v>城市级别｜三线及以下</x:v>
      </x:c>
      <x:c r="C21" s="20" t="str">
        <x:v>S4=4</x:v>
      </x:c>
      <x:c r="D21" s="22" t="n">
        <x:v>0.24</x:v>
      </x:c>
      <x:c r="E21" s="23" t="n">
        <x:v>1200</x:v>
      </x:c>
      <x:c r="F21" s="25"/>
      <x:c r="G21" s="23" t="str">
        <x:f>IF(F21="","",F21-E21)</x:f>
      </x:c>
      <x:c r="H21" s="10" t="str">
        <x:v>硬控</x:v>
      </x:c>
    </x:row>
    <x:row r="22">
      <x:c r="A22" s="10" t="str">
        <x:v>实验分组</x:v>
      </x:c>
      <x:c r="B22" s="10" t="str">
        <x:v>健康属性实验｜现有产品方案</x:v>
      </x:c>
      <x:c r="C22" s="20" t="str">
        <x:v>PJT_HEALTH_01=1</x:v>
      </x:c>
      <x:c r="D22" s="22" t="n">
        <x:v>0.5</x:v>
      </x:c>
      <x:c r="E22" s="23" t="n">
        <x:v>2500</x:v>
      </x:c>
      <x:c r="F22" s="25"/>
      <x:c r="G22" s="23" t="str">
        <x:f>IF(F22="","",F22-E22)</x:f>
      </x:c>
      <x:c r="H22" s="10" t="str">
        <x:v>随机分配 / 软监测</x:v>
      </x:c>
    </x:row>
    <x:row r="23">
      <x:c r="A23" s="10" t="str">
        <x:v>实验分组</x:v>
      </x:c>
      <x:c r="B23" s="10" t="str">
        <x:v>健康属性实验｜健康属性强化方案</x:v>
      </x:c>
      <x:c r="C23" s="20" t="str">
        <x:v>PJT_HEALTH_01=2</x:v>
      </x:c>
      <x:c r="D23" s="22" t="n">
        <x:v>0.5</x:v>
      </x:c>
      <x:c r="E23" s="23" t="n">
        <x:v>2500</x:v>
      </x:c>
      <x:c r="F23" s="25"/>
      <x:c r="G23" s="23" t="str">
        <x:f>IF(F23="","",F23-E23)</x:f>
      </x:c>
      <x:c r="H23" s="10" t="str">
        <x:v>随机分配 / 软监测</x:v>
      </x:c>
    </x:row>
    <x:row r="24">
      <x:c r="A24" s="10" t="str">
        <x:v>实验分组</x:v>
      </x:c>
      <x:c r="B24" s="10" t="str">
        <x:v>随机价格实验｜¥9.9</x:v>
      </x:c>
      <x:c r="C24" s="20" t="str">
        <x:v>PJT_PRICE_01=1</x:v>
      </x:c>
      <x:c r="D24" s="22" t="n">
        <x:v>0.3333333333333333</x:v>
      </x:c>
      <x:c r="E24" s="23" t="n">
        <x:v>1667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随机价格实验｜¥10.9</x:v>
      </x:c>
      <x:c r="C25" s="20" t="str">
        <x:v>PJT_PRICE_01=2</x:v>
      </x:c>
      <x:c r="D25" s="22" t="n">
        <x:v>0.3333333333333333</x:v>
      </x:c>
      <x:c r="E25" s="23" t="n">
        <x:v>1667</x:v>
      </x:c>
      <x:c r="F25" s="25"/>
      <x:c r="G25" s="23" t="str">
        <x:f>IF(F25="","",F25-E25)</x:f>
      </x:c>
      <x:c r="H25" s="10" t="str">
        <x:v>随机分配 / 软监测</x:v>
      </x:c>
    </x:row>
    <x:row r="26">
      <x:c r="A26" s="10" t="str">
        <x:v>实验分组</x:v>
      </x:c>
      <x:c r="B26" s="10" t="str">
        <x:v>随机价格实验｜¥12.9</x:v>
      </x:c>
      <x:c r="C26" s="20" t="str">
        <x:v>PJT_PRICE_01=3</x:v>
      </x:c>
      <x:c r="D26" s="22" t="n">
        <x:v>0.3333333333333333</x:v>
      </x:c>
      <x:c r="E26" s="23" t="n">
        <x:v>1667</x:v>
      </x:c>
      <x:c r="F26" s="25"/>
      <x:c r="G26" s="23" t="str">
        <x:f>IF(F26="","",F26-E26)</x:f>
      </x:c>
      <x:c r="H26" s="10" t="str">
        <x:v>随机分配 / 软监测</x:v>
      </x:c>
    </x:row>
    <x:row r="28">
      <x:c r="A28" s="28" t="str">
        <x:v>说明</x:v>
      </x:c>
      <x:c r="B28" s="28" t="str">
        <x:v>实验分组目标N仅用于检查随机分配平衡；不与年龄、性别、地区等自然人群配额机械交叉。</x:v>
      </x:c>
      <x:c r="C28" s="28"/>
      <x:c r="D28" s="28"/>
      <x:c r="E28" s="28"/>
      <x:c r="F28" s="28"/>
      <x:c r="G28" s="28"/>
      <x:c r="H28" s="28"/>
    </x:row>
  </x:sheetData>
  <x:mergeCells>
    <x:mergeCell ref="A1:H1"/>
    <x:mergeCell ref="B2:C2"/>
    <x:mergeCell ref="E2:H2"/>
    <x:mergeCell ref="B3:H3"/>
    <x:mergeCell ref="B28:H28"/>
  </x:mergeCells>
  <x:pageMargins left="0.7" right="0.7" top="0.75" bottom="0.75" header="0.3" footer="0.3"/>
</x:worksheet>
</file>