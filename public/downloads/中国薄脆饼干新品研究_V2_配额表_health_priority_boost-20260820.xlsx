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d04bfaffe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2d815356d764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a180ba949748a6" /><Relationship Type="http://schemas.openxmlformats.org/officeDocument/2006/relationships/theme" Target="/xl/theme/theme1.xml" Id="Rd8f8ce46ad3e4dce" /><Relationship Type="http://schemas.openxmlformats.org/officeDocument/2006/relationships/sharedStrings" Target="/xl/sharedStrings.xml" Id="Rdf3e889d2ab8468a" /><Relationship Type="http://schemas.openxmlformats.org/officeDocument/2006/relationships/worksheet" Target="/xl/worksheets/sheet1.xml" Id="R2d815356d76448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重点人群增样</x:v>
      </x:c>
      <x:c r="B1" s="3" t="str">
        <x:v>中国薄脆饼干新品研究｜V2 重点人群增样</x:v>
      </x:c>
      <x:c r="C1" s="3" t="str">
        <x:v>中国薄脆饼干新品研究｜V2 重点人群增样</x:v>
      </x:c>
      <x:c r="D1" s="3" t="str">
        <x:v>中国薄脆饼干新品研究｜V2 重点人群增样</x:v>
      </x:c>
      <x:c r="E1" s="3" t="str">
        <x:v>中国薄脆饼干新品研究｜V2 重点人群增样</x:v>
      </x:c>
      <x:c r="F1" s="3" t="str">
        <x:v>中国薄脆饼干新品研究｜V2 重点人群增样</x:v>
      </x:c>
      <x:c r="G1" s="3" t="str">
        <x:v>中国薄脆饼干新品研究｜V2 重点人群增样</x:v>
      </x:c>
      <x:c r="H1" s="3" t="str">
        <x:v>中国薄脆饼干新品研究｜V2 重点人群增样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结构监测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软监测</x:v>
      </x:c>
    </x:row>
    <x:row r="7">
      <x:c r="A7" s="10" t="str">
        <x:v>结构监测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软监测</x:v>
      </x:c>
    </x:row>
    <x:row r="8">
      <x:c r="A8" s="10" t="str">
        <x:v>结构监测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软监测</x:v>
      </x:c>
    </x:row>
    <x:row r="9">
      <x:c r="A9" s="10" t="str">
        <x:v>结构监测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软监测</x:v>
      </x:c>
    </x:row>
    <x:row r="10">
      <x:c r="A10" s="10" t="str">
        <x:v>结构监测</x:v>
      </x:c>
      <x:c r="B10" s="10" t="str">
        <x:v>地区｜华东</x:v>
      </x:c>
      <x:c r="C10" s="20" t="str">
        <x:v>S3=1</x:v>
      </x:c>
      <x:c r="D10" s="22" t="n">
        <x:v>0.29</x:v>
      </x:c>
      <x:c r="E10" s="23" t="n">
        <x:v>1450</x:v>
      </x:c>
      <x:c r="F10" s="25"/>
      <x:c r="G10" s="23" t="str">
        <x:f>IF(F10="","",F10-E10)</x:f>
      </x:c>
      <x:c r="H10" s="10" t="str">
        <x:v>软监测</x:v>
      </x:c>
    </x:row>
    <x:row r="11">
      <x:c r="A11" s="10" t="str">
        <x:v>结构监测</x:v>
      </x:c>
      <x:c r="B11" s="10" t="str">
        <x:v>地区｜华南</x:v>
      </x:c>
      <x:c r="C11" s="20" t="str">
        <x:v>S3=2</x:v>
      </x:c>
      <x:c r="D11" s="22" t="n">
        <x:v>0.19</x:v>
      </x:c>
      <x:c r="E11" s="23" t="n">
        <x:v>950</x:v>
      </x:c>
      <x:c r="F11" s="25"/>
      <x:c r="G11" s="23" t="str">
        <x:f>IF(F11="","",F11-E11)</x:f>
      </x:c>
      <x:c r="H11" s="10" t="str">
        <x:v>软监测</x:v>
      </x:c>
    </x:row>
    <x:row r="12">
      <x:c r="A12" s="10" t="str">
        <x:v>结构监测</x:v>
      </x:c>
      <x:c r="B12" s="10" t="str">
        <x:v>地区｜华北</x:v>
      </x:c>
      <x:c r="C12" s="20" t="str">
        <x:v>S3=3</x:v>
      </x:c>
      <x:c r="D12" s="22" t="n">
        <x:v>0.17</x:v>
      </x:c>
      <x:c r="E12" s="23" t="n">
        <x:v>850</x:v>
      </x:c>
      <x:c r="F12" s="25"/>
      <x:c r="G12" s="23" t="str">
        <x:f>IF(F12="","",F12-E12)</x:f>
      </x:c>
      <x:c r="H12" s="10" t="str">
        <x:v>软监测</x:v>
      </x:c>
    </x:row>
    <x:row r="13">
      <x:c r="A13" s="10" t="str">
        <x:v>结构监测</x:v>
      </x:c>
      <x:c r="B13" s="10" t="str">
        <x:v>地区｜华中</x:v>
      </x:c>
      <x:c r="C13" s="20" t="str">
        <x:v>S3=4</x:v>
      </x:c>
      <x:c r="D13" s="22" t="n">
        <x:v>0.14</x:v>
      </x:c>
      <x:c r="E13" s="23" t="n">
        <x:v>700</x:v>
      </x:c>
      <x:c r="F13" s="25"/>
      <x:c r="G13" s="23" t="str">
        <x:f>IF(F13="","",F13-E13)</x:f>
      </x:c>
      <x:c r="H13" s="10" t="str">
        <x:v>软监测</x:v>
      </x:c>
    </x:row>
    <x:row r="14">
      <x:c r="A14" s="10" t="str">
        <x:v>结构监测</x:v>
      </x:c>
      <x:c r="B14" s="10" t="str">
        <x:v>地区｜西南</x:v>
      </x:c>
      <x:c r="C14" s="20" t="str">
        <x:v>S3=5</x:v>
      </x:c>
      <x:c r="D14" s="22" t="n">
        <x:v>0.13</x:v>
      </x:c>
      <x:c r="E14" s="23" t="n">
        <x:v>650</x:v>
      </x:c>
      <x:c r="F14" s="25"/>
      <x:c r="G14" s="23" t="str">
        <x:f>IF(F14="","",F14-E14)</x:f>
      </x:c>
      <x:c r="H14" s="10" t="str">
        <x:v>软监测</x:v>
      </x:c>
    </x:row>
    <x:row r="15">
      <x:c r="A15" s="10" t="str">
        <x:v>结构监测</x:v>
      </x:c>
      <x:c r="B15" s="10" t="str">
        <x:v>地区｜东北</x:v>
      </x:c>
      <x:c r="C15" s="20" t="str">
        <x:v>S3=6</x:v>
      </x:c>
      <x:c r="D15" s="22" t="n">
        <x:v>0.08</x:v>
      </x:c>
      <x:c r="E15" s="23" t="n">
        <x:v>400</x:v>
      </x:c>
      <x:c r="F15" s="25"/>
      <x:c r="G15" s="23" t="str">
        <x:f>IF(F15="","",F15-E15)</x:f>
      </x:c>
      <x:c r="H15" s="10" t="str">
        <x:v>软监测</x:v>
      </x:c>
    </x:row>
    <x:row r="16">
      <x:c r="A16" s="10" t="str">
        <x:v>重点Base</x:v>
      </x:c>
      <x:c r="B16" s="10" t="str">
        <x:v>18–24岁</x:v>
      </x:c>
      <x:c r="C16" s="20" t="str">
        <x:v>S1=1</x:v>
      </x:c>
      <x:c r="D16" s="22"/>
      <x:c r="E16" s="23" t="n">
        <x:v>300</x:v>
      </x:c>
      <x:c r="F16" s="25"/>
      <x:c r="G16" s="23" t="str">
        <x:f>IF(F16="","",F16-E16)</x:f>
      </x:c>
      <x:c r="H16" s="10" t="str">
        <x:v>最低Base</x:v>
      </x:c>
    </x:row>
    <x:row r="17">
      <x:c r="A17" s="10" t="str">
        <x:v>重点Base</x:v>
      </x:c>
      <x:c r="B17" s="10" t="str">
        <x:v>近3个月目标品类购买者</x:v>
      </x:c>
      <x:c r="C17" s="20" t="str">
        <x:v>Q1=1</x:v>
      </x:c>
      <x:c r="D17" s="22"/>
      <x:c r="E17" s="23" t="n">
        <x:v>2500</x:v>
      </x:c>
      <x:c r="F17" s="25"/>
      <x:c r="G17" s="23" t="str">
        <x:f>IF(F17="","",F17-E17)</x:f>
      </x:c>
      <x:c r="H17" s="10" t="str">
        <x:v>最低Base</x:v>
      </x:c>
    </x:row>
    <x:row r="18">
      <x:c r="A18" s="10" t="str">
        <x:v>实验分组</x:v>
      </x:c>
      <x:c r="B18" s="10" t="str">
        <x:v>健康属性实验｜现有产品方案</x:v>
      </x:c>
      <x:c r="C18" s="20" t="str">
        <x:v>PJT_HEALTH_01=1</x:v>
      </x:c>
      <x:c r="D18" s="22" t="n">
        <x:v>0.5</x:v>
      </x:c>
      <x:c r="E18" s="23" t="n">
        <x:v>2500</x:v>
      </x:c>
      <x:c r="F18" s="25"/>
      <x:c r="G18" s="23" t="str">
        <x:f>IF(F18="","",F18-E18)</x:f>
      </x:c>
      <x:c r="H18" s="10" t="str">
        <x:v>随机分配 / 软监测</x:v>
      </x:c>
    </x:row>
    <x:row r="19">
      <x:c r="A19" s="10" t="str">
        <x:v>实验分组</x:v>
      </x:c>
      <x:c r="B19" s="10" t="str">
        <x:v>健康属性实验｜健康属性强化方案</x:v>
      </x:c>
      <x:c r="C19" s="20" t="str">
        <x:v>PJT_HEALTH_01=2</x:v>
      </x:c>
      <x:c r="D19" s="22" t="n">
        <x:v>0.5</x:v>
      </x:c>
      <x:c r="E19" s="23" t="n">
        <x:v>2500</x:v>
      </x:c>
      <x:c r="F19" s="25"/>
      <x:c r="G19" s="23" t="str">
        <x:f>IF(F19="","",F19-E19)</x:f>
      </x:c>
      <x:c r="H19" s="10" t="str">
        <x:v>随机分配 / 软监测</x:v>
      </x:c>
    </x:row>
    <x:row r="21">
      <x:c r="A21" s="28" t="str">
        <x:v>说明</x:v>
      </x:c>
      <x:c r="B21" s="28" t="str">
        <x:v>实验分组目标N仅用于检查随机分配平衡；不与年龄、性别、地区等自然人群配额机械交叉。</x:v>
      </x:c>
      <x:c r="C21" s="28"/>
      <x:c r="D21" s="28"/>
      <x:c r="E21" s="28"/>
      <x:c r="F21" s="28"/>
      <x:c r="G21" s="28"/>
      <x:c r="H21" s="28"/>
    </x:row>
  </x:sheetData>
  <x:mergeCells>
    <x:mergeCell ref="A1:H1"/>
    <x:mergeCell ref="B2:C2"/>
    <x:mergeCell ref="E2:H2"/>
    <x:mergeCell ref="B3:H3"/>
    <x:mergeCell ref="B21:H21"/>
  </x:mergeCells>
  <x:pageMargins left="0.7" right="0.7" top="0.75" bottom="0.75" header="0.3" footer="0.3"/>
</x:worksheet>
</file>